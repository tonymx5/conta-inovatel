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a\OneDrive\Documentos\"/>
    </mc:Choice>
  </mc:AlternateContent>
  <xr:revisionPtr revIDLastSave="0" documentId="13_ncr:1_{DD5CA4BC-5087-4CFA-A7F3-F7BBEAB93786}" xr6:coauthVersionLast="47" xr6:coauthVersionMax="47" xr10:uidLastSave="{00000000-0000-0000-0000-000000000000}"/>
  <bookViews>
    <workbookView xWindow="-108" yWindow="-108" windowWidth="23256" windowHeight="12456" xr2:uid="{A4D4EBCC-D7E9-4A40-95DE-6EA35D23C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G23" i="1" s="1"/>
  <c r="D19" i="1"/>
  <c r="G22" i="1" s="1"/>
  <c r="C19" i="1"/>
  <c r="G19" i="1" s="1"/>
  <c r="G21" i="1" s="1"/>
  <c r="G25" i="1" l="1"/>
</calcChain>
</file>

<file path=xl/sharedStrings.xml><?xml version="1.0" encoding="utf-8"?>
<sst xmlns="http://schemas.openxmlformats.org/spreadsheetml/2006/main" count="22" uniqueCount="22">
  <si>
    <t>EDSON</t>
  </si>
  <si>
    <t xml:space="preserve">CLIENTE </t>
  </si>
  <si>
    <t xml:space="preserve">INGRESOS </t>
  </si>
  <si>
    <t>IVA</t>
  </si>
  <si>
    <t>RETENCION</t>
  </si>
  <si>
    <t>JOINT</t>
  </si>
  <si>
    <t>MAJESTIC</t>
  </si>
  <si>
    <t>GRACIELA</t>
  </si>
  <si>
    <t>ELIZABEHT</t>
  </si>
  <si>
    <t>ALCO</t>
  </si>
  <si>
    <t xml:space="preserve">ALVARADOS </t>
  </si>
  <si>
    <t>TOTAL INGRESOS</t>
  </si>
  <si>
    <t>ISR</t>
  </si>
  <si>
    <t xml:space="preserve">IVA </t>
  </si>
  <si>
    <t xml:space="preserve">RETENCION ISR </t>
  </si>
  <si>
    <t xml:space="preserve">CONTADOR </t>
  </si>
  <si>
    <t>TOTAL</t>
  </si>
  <si>
    <t>ESTA INFORMACION ES LA SUMA DE LA RETENCION DE ISR (LA SACAS DE LA FACTURA)</t>
  </si>
  <si>
    <t>ESTA INFORMACION ES LA SUMA DEL IVA  (LA SACAS DE LA FACTURA)</t>
  </si>
  <si>
    <t>ESTE ISR ES QUE SE COBRA MENSUAL DEPENDIENDO TUS INGRESOS (SIEMPRE LE PONGO EL 2.5%) YA QUE NO SE SABE EL TOTAL DE LOS INGRESOS HASTA EL MES SIGUIENTE</t>
  </si>
  <si>
    <t>TOTAL DE INGRESOS</t>
  </si>
  <si>
    <t xml:space="preserve">TOTAL A RECIBIR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</si>
</sst>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/>
    <xf numFmtId="44" fontId="0" fillId="4" borderId="3" xfId="1" applyFont="1" applyFill="1" applyBorder="1"/>
    <xf numFmtId="44" fontId="0" fillId="4" borderId="4" xfId="1" applyFont="1" applyFill="1" applyBorder="1"/>
    <xf numFmtId="44" fontId="0" fillId="3" borderId="3" xfId="2" applyFont="1" applyFill="1" applyBorder="1"/>
    <xf numFmtId="44" fontId="0" fillId="3" borderId="5" xfId="2" applyFont="1" applyFill="1" applyBorder="1"/>
    <xf numFmtId="44" fontId="0" fillId="4" borderId="4" xfId="2" applyFont="1" applyFill="1" applyBorder="1"/>
    <xf numFmtId="44" fontId="0" fillId="0" borderId="0" xfId="0" applyNumberFormat="1"/>
    <xf numFmtId="0" fontId="0" fillId="3" borderId="0" xfId="0" applyFill="1"/>
    <xf numFmtId="0" fontId="0" fillId="0" borderId="3" xfId="0" applyBorder="1"/>
    <xf numFmtId="44" fontId="0" fillId="3" borderId="4" xfId="2" applyFont="1" applyFill="1" applyBorder="1"/>
    <xf numFmtId="0" fontId="0" fillId="0" borderId="0" xfId="0" applyAlignment="1">
      <alignment horizontal="center"/>
    </xf>
    <xf numFmtId="0" fontId="0" fillId="0" borderId="6" xfId="0" applyBorder="1"/>
    <xf numFmtId="44" fontId="0" fillId="0" borderId="7" xfId="2" applyFont="1" applyBorder="1"/>
    <xf numFmtId="44" fontId="0" fillId="0" borderId="6" xfId="2" applyFont="1" applyBorder="1"/>
    <xf numFmtId="44" fontId="0" fillId="0" borderId="8" xfId="2" applyFont="1" applyBorder="1"/>
    <xf numFmtId="44" fontId="0" fillId="3" borderId="0" xfId="0" applyNumberFormat="1" applyFill="1"/>
    <xf numFmtId="44" fontId="0" fillId="5" borderId="0" xfId="1" applyFont="1" applyFill="1"/>
    <xf numFmtId="44" fontId="0" fillId="5" borderId="0" xfId="0" applyNumberFormat="1" applyFill="1"/>
    <xf numFmtId="44" fontId="0" fillId="4" borderId="0" xfId="0" applyNumberFormat="1" applyFill="1"/>
    <xf numFmtId="44" fontId="0" fillId="4" borderId="1" xfId="2" applyFont="1" applyFill="1" applyBorder="1"/>
    <xf numFmtId="44" fontId="0" fillId="4" borderId="2" xfId="2" applyFont="1" applyFill="1" applyBorder="1"/>
    <xf numFmtId="44" fontId="0" fillId="4" borderId="3" xfId="2" applyFont="1" applyFill="1" applyBorder="1"/>
    <xf numFmtId="44" fontId="0" fillId="4" borderId="5" xfId="2" applyFont="1" applyFill="1" applyBorder="1"/>
  </cellXfs>
  <cellStyles count="3">
    <cellStyle name="Currency 2" xfId="2" xr:uid="{269C0658-0A9E-4AFD-A54F-88BDD68FBAA3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313973</xdr:colOff>
      <xdr:row>0</xdr:row>
      <xdr:rowOff>105681</xdr:rowOff>
    </xdr:from>
    <xdr:to>
      <xdr:col>7</xdr:col>
      <xdr:colOff>448733</xdr:colOff>
      <xdr:row>10</xdr:row>
      <xdr:rowOff>178987</xdr:rowOff>
    </xdr:to>
    <xdr:sp macro="" textlink="">
      <xdr:nvSpPr>
        <xdr:cNvPr id="2" name="Bocadillo nube: nube 1">
          <a:extLst>
            <a:ext uri="{FF2B5EF4-FFF2-40B4-BE49-F238E27FC236}">
              <a16:creationId xmlns:a16="http://schemas.microsoft.com/office/drawing/2014/main" id="{5E8DBBAA-6855-AD64-9626-B8BDAC8DEC2D}"/>
            </a:ext>
          </a:extLst>
        </xdr:cNvPr>
        <xdr:cNvSpPr/>
      </xdr:nvSpPr>
      <xdr:spPr>
        <a:xfrm rot="4145500">
          <a:off x="5770140" y="379754"/>
          <a:ext cx="1902106" cy="1719720"/>
        </a:xfrm>
        <a:prstGeom prst="cloudCallou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ESTA</a:t>
          </a:r>
          <a:r>
            <a:rPr lang="es-MX" sz="1100" baseline="0"/>
            <a:t> INFORMACION LA SACAS DE LA FACTURA </a:t>
          </a:r>
          <a:endParaRPr lang="es-MX" sz="1100"/>
        </a:p>
      </xdr:txBody>
    </xdr:sp>
    <xdr:clientData/>
  </xdr:twoCellAnchor>
  <xdr:twoCellAnchor editAs="oneCell">
    <xdr:from>
      <xdr:col>7</xdr:col>
      <xdr:colOff>760912</xdr:colOff>
      <xdr:row>2</xdr:row>
      <xdr:rowOff>114300</xdr:rowOff>
    </xdr:from>
    <xdr:to>
      <xdr:col>7</xdr:col>
      <xdr:colOff>5478780</xdr:colOff>
      <xdr:row>14</xdr:row>
      <xdr:rowOff>78542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69506-3F98-B910-2112-31E03303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1152" y="480060"/>
          <a:ext cx="4717868" cy="2158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9977-BBF0-4783-B90D-B7A11FB31B02}">
  <dimension ref="B2:H29"/>
  <sheetViews>
    <sheetView tabSelected="1" workbookViewId="0">
      <selection activeCell="H9" sqref="H9"/>
    </sheetView>
  </sheetViews>
  <sheetFormatPr baseColWidth="10" defaultRowHeight="14.4" x14ac:dyDescent="0.3"/>
  <cols>
    <col min="6" max="6" width="14.21875" bestFit="1" customWidth="1"/>
    <col min="8" max="8" width="145.33203125" bestFit="1" customWidth="1"/>
  </cols>
  <sheetData>
    <row r="2" spans="2:7" x14ac:dyDescent="0.3">
      <c r="B2" t="s">
        <v>0</v>
      </c>
    </row>
    <row r="3" spans="2:7" x14ac:dyDescent="0.3">
      <c r="B3" s="1" t="s">
        <v>1</v>
      </c>
      <c r="C3" s="2" t="s">
        <v>2</v>
      </c>
      <c r="D3" s="3" t="s">
        <v>3</v>
      </c>
      <c r="E3" s="2" t="s">
        <v>4</v>
      </c>
    </row>
    <row r="4" spans="2:7" x14ac:dyDescent="0.3">
      <c r="B4" s="4" t="s">
        <v>5</v>
      </c>
      <c r="C4" s="5">
        <v>7479.41</v>
      </c>
      <c r="D4" s="23">
        <v>560.52</v>
      </c>
      <c r="E4" s="24">
        <v>87.52</v>
      </c>
    </row>
    <row r="5" spans="2:7" x14ac:dyDescent="0.3">
      <c r="B5" s="4" t="s">
        <v>6</v>
      </c>
      <c r="C5" s="6">
        <v>693.87</v>
      </c>
      <c r="D5" s="25">
        <v>52</v>
      </c>
      <c r="E5" s="26">
        <v>8</v>
      </c>
    </row>
    <row r="6" spans="2:7" x14ac:dyDescent="0.3">
      <c r="B6" s="4" t="s">
        <v>7</v>
      </c>
      <c r="C6" s="6">
        <v>842.4</v>
      </c>
      <c r="D6" s="25">
        <v>62.4</v>
      </c>
      <c r="E6" s="26"/>
    </row>
    <row r="7" spans="2:7" x14ac:dyDescent="0.3">
      <c r="B7" s="4" t="s">
        <v>8</v>
      </c>
      <c r="C7" s="6">
        <v>1333.8</v>
      </c>
      <c r="D7" s="25">
        <v>98.8</v>
      </c>
      <c r="E7" s="26"/>
    </row>
    <row r="8" spans="2:7" x14ac:dyDescent="0.3">
      <c r="B8" s="4" t="s">
        <v>9</v>
      </c>
      <c r="C8" s="6">
        <v>1708</v>
      </c>
      <c r="D8" s="25">
        <v>128</v>
      </c>
      <c r="E8" s="26">
        <v>20</v>
      </c>
    </row>
    <row r="9" spans="2:7" x14ac:dyDescent="0.3">
      <c r="B9" s="4" t="s">
        <v>10</v>
      </c>
      <c r="C9" s="9">
        <v>4270</v>
      </c>
      <c r="D9" s="25">
        <v>320</v>
      </c>
      <c r="E9" s="26">
        <v>50</v>
      </c>
      <c r="F9" s="10"/>
    </row>
    <row r="10" spans="2:7" x14ac:dyDescent="0.3">
      <c r="B10" s="4"/>
      <c r="C10" s="13">
        <v>0</v>
      </c>
      <c r="D10" s="7">
        <v>0</v>
      </c>
      <c r="E10" s="8">
        <v>0</v>
      </c>
    </row>
    <row r="11" spans="2:7" x14ac:dyDescent="0.3">
      <c r="B11" s="4"/>
      <c r="C11" s="13">
        <v>0</v>
      </c>
      <c r="D11" s="7">
        <v>0</v>
      </c>
      <c r="E11" s="8">
        <v>0</v>
      </c>
      <c r="G11" s="11"/>
    </row>
    <row r="12" spans="2:7" x14ac:dyDescent="0.3">
      <c r="B12" s="4"/>
      <c r="C12" s="13">
        <v>0</v>
      </c>
      <c r="D12" s="7">
        <v>0</v>
      </c>
      <c r="E12" s="8">
        <v>0</v>
      </c>
    </row>
    <row r="13" spans="2:7" x14ac:dyDescent="0.3">
      <c r="B13" s="12"/>
      <c r="C13" s="13">
        <v>0</v>
      </c>
      <c r="D13" s="7">
        <v>0</v>
      </c>
      <c r="E13" s="8">
        <v>0</v>
      </c>
    </row>
    <row r="14" spans="2:7" x14ac:dyDescent="0.3">
      <c r="B14" s="12"/>
      <c r="C14" s="13">
        <v>0</v>
      </c>
      <c r="D14" s="7">
        <v>0</v>
      </c>
      <c r="E14" s="8">
        <v>0</v>
      </c>
    </row>
    <row r="15" spans="2:7" x14ac:dyDescent="0.3">
      <c r="B15" s="12"/>
      <c r="C15" s="13">
        <v>0</v>
      </c>
      <c r="D15" s="7">
        <v>0</v>
      </c>
      <c r="E15" s="8">
        <v>0</v>
      </c>
    </row>
    <row r="16" spans="2:7" x14ac:dyDescent="0.3">
      <c r="B16" s="12"/>
      <c r="C16" s="13">
        <v>0</v>
      </c>
      <c r="D16" s="7">
        <v>0</v>
      </c>
      <c r="E16" s="8">
        <v>0</v>
      </c>
    </row>
    <row r="17" spans="2:8" x14ac:dyDescent="0.3">
      <c r="B17" s="12"/>
      <c r="C17" s="13">
        <v>0</v>
      </c>
      <c r="D17" s="7">
        <v>0</v>
      </c>
      <c r="E17" s="8">
        <v>0</v>
      </c>
    </row>
    <row r="18" spans="2:8" x14ac:dyDescent="0.3">
      <c r="B18" s="12"/>
      <c r="C18" s="13">
        <v>0</v>
      </c>
      <c r="D18" s="7">
        <v>0</v>
      </c>
      <c r="E18" s="8">
        <v>0</v>
      </c>
      <c r="G18" s="14" t="s">
        <v>11</v>
      </c>
    </row>
    <row r="19" spans="2:8" x14ac:dyDescent="0.3">
      <c r="B19" s="15"/>
      <c r="C19" s="16">
        <f>SUM(C4:C18)</f>
        <v>16327.48</v>
      </c>
      <c r="D19" s="17">
        <f>SUM(D4:D18)</f>
        <v>1221.7199999999998</v>
      </c>
      <c r="E19" s="18">
        <f>SUM(E4:E18)</f>
        <v>165.51999999999998</v>
      </c>
      <c r="G19" s="10">
        <f>+C19</f>
        <v>16327.48</v>
      </c>
      <c r="H19" t="s">
        <v>20</v>
      </c>
    </row>
    <row r="20" spans="2:8" x14ac:dyDescent="0.3">
      <c r="G20" s="14"/>
    </row>
    <row r="21" spans="2:8" x14ac:dyDescent="0.3">
      <c r="F21" t="s">
        <v>12</v>
      </c>
      <c r="G21" s="20">
        <f>+G19*0.025</f>
        <v>408.18700000000001</v>
      </c>
      <c r="H21" t="s">
        <v>19</v>
      </c>
    </row>
    <row r="22" spans="2:8" x14ac:dyDescent="0.3">
      <c r="B22" s="11"/>
      <c r="F22" t="s">
        <v>13</v>
      </c>
      <c r="G22" s="21">
        <f>+D19</f>
        <v>1221.7199999999998</v>
      </c>
      <c r="H22" t="s">
        <v>18</v>
      </c>
    </row>
    <row r="23" spans="2:8" x14ac:dyDescent="0.3">
      <c r="B23" s="11"/>
      <c r="D23" s="10"/>
      <c r="F23" t="s">
        <v>14</v>
      </c>
      <c r="G23" s="21">
        <f>+E19</f>
        <v>165.51999999999998</v>
      </c>
      <c r="H23" t="s">
        <v>17</v>
      </c>
    </row>
    <row r="24" spans="2:8" x14ac:dyDescent="0.3">
      <c r="B24" s="11"/>
      <c r="D24" s="19"/>
      <c r="E24" s="11"/>
      <c r="F24" t="s">
        <v>15</v>
      </c>
      <c r="G24" s="20"/>
    </row>
    <row r="25" spans="2:8" x14ac:dyDescent="0.3">
      <c r="B25" s="11"/>
      <c r="D25" s="19"/>
      <c r="E25" s="11"/>
      <c r="F25" t="s">
        <v>16</v>
      </c>
      <c r="G25" s="22">
        <f>+G19-G21-G22-G23-G24</f>
        <v>14532.053</v>
      </c>
      <c r="H25" t="s">
        <v>21</v>
      </c>
    </row>
    <row r="29" spans="2:8" x14ac:dyDescent="0.3">
      <c r="G29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LARIOS</dc:creator>
  <cp:lastModifiedBy>KARLA LARIOS</cp:lastModifiedBy>
  <dcterms:created xsi:type="dcterms:W3CDTF">2026-07-22T17:55:42Z</dcterms:created>
  <dcterms:modified xsi:type="dcterms:W3CDTF">2026-07-22T18:07:58Z</dcterms:modified>
</cp:coreProperties>
</file>